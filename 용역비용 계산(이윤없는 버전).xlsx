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. 내비온\00. 양식 및 서류 모음\1. 양식\예산안 작성관련\"/>
    </mc:Choice>
  </mc:AlternateContent>
  <xr:revisionPtr revIDLastSave="0" documentId="13_ncr:1_{58605913-B47A-4C37-BC8D-1385B457607A}" xr6:coauthVersionLast="47" xr6:coauthVersionMax="47" xr10:uidLastSave="{00000000-0000-0000-0000-000000000000}"/>
  <bookViews>
    <workbookView xWindow="-28920" yWindow="-120" windowWidth="29040" windowHeight="15720" activeTab="1" xr2:uid="{00B575EF-CAF8-4C9E-8DB9-BF3B2B678EF2}"/>
  </bookViews>
  <sheets>
    <sheet name="Claude Log" sheetId="4" r:id="rId1"/>
    <sheet name="Sheet1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2" i="1" l="1"/>
  <c r="M11" i="1"/>
  <c r="M19" i="1"/>
  <c r="M20" i="1"/>
  <c r="M21" i="1"/>
  <c r="C18" i="1"/>
  <c r="D18" i="1" s="1"/>
  <c r="M12" i="1"/>
  <c r="M23" i="1"/>
  <c r="M24" i="1"/>
  <c r="M25" i="1"/>
  <c r="M18" i="1"/>
  <c r="M26" i="1" l="1"/>
  <c r="C13" i="1"/>
  <c r="C24" i="1" l="1"/>
  <c r="D12" i="1"/>
  <c r="C14" i="1"/>
  <c r="C15" i="1" s="1"/>
  <c r="M15" i="1" l="1"/>
  <c r="D14" i="1"/>
  <c r="D13" i="1"/>
  <c r="N15" i="1" l="1"/>
  <c r="C23" i="1"/>
  <c r="C16" i="1"/>
  <c r="C17" i="1" s="1"/>
  <c r="D15" i="1"/>
  <c r="C25" i="1" l="1"/>
  <c r="D16" i="1"/>
  <c r="C26" i="1" l="1"/>
  <c r="C27" i="1" s="1"/>
  <c r="C19" i="1"/>
  <c r="D19" i="1" s="1"/>
  <c r="D17" i="1"/>
  <c r="C28" i="1" l="1"/>
  <c r="C29" i="1" l="1"/>
  <c r="C30" i="1" s="1"/>
  <c r="C32" i="1" l="1"/>
  <c r="N26" i="1"/>
  <c r="P26" i="1" l="1"/>
  <c r="P14" i="1"/>
  <c r="P11" i="1"/>
  <c r="P22" i="1"/>
  <c r="P13" i="1"/>
  <c r="P21" i="1"/>
  <c r="P20" i="1"/>
  <c r="P19" i="1"/>
  <c r="P18" i="1"/>
  <c r="P12" i="1"/>
  <c r="P15" i="1"/>
  <c r="D27" i="1"/>
  <c r="D23" i="1"/>
  <c r="D32" i="1"/>
  <c r="D31" i="1"/>
  <c r="D24" i="1"/>
  <c r="D30" i="1"/>
  <c r="D29" i="1"/>
  <c r="D28" i="1"/>
  <c r="D26" i="1"/>
  <c r="D25" i="1"/>
</calcChain>
</file>

<file path=xl/sharedStrings.xml><?xml version="1.0" encoding="utf-8"?>
<sst xmlns="http://schemas.openxmlformats.org/spreadsheetml/2006/main" count="102" uniqueCount="81">
  <si>
    <t>총계</t>
    <phoneticPr fontId="2" type="noConversion"/>
  </si>
  <si>
    <t>부가세</t>
    <phoneticPr fontId="2" type="noConversion"/>
  </si>
  <si>
    <t>원가</t>
    <phoneticPr fontId="2" type="noConversion"/>
  </si>
  <si>
    <t>이윤</t>
    <phoneticPr fontId="2" type="noConversion"/>
  </si>
  <si>
    <t>일반관리비</t>
    <phoneticPr fontId="2" type="noConversion"/>
  </si>
  <si>
    <t>인건비+경비</t>
    <phoneticPr fontId="2" type="noConversion"/>
  </si>
  <si>
    <t>경비</t>
    <phoneticPr fontId="2" type="noConversion"/>
  </si>
  <si>
    <t>인건비</t>
    <phoneticPr fontId="2" type="noConversion"/>
  </si>
  <si>
    <t>= 원가+부가세</t>
    <phoneticPr fontId="2" type="noConversion"/>
  </si>
  <si>
    <t>= 총계-부가세</t>
    <phoneticPr fontId="2" type="noConversion"/>
  </si>
  <si>
    <t>= 원가-(원가/1.1)</t>
    <phoneticPr fontId="2" type="noConversion"/>
  </si>
  <si>
    <t>= 총계/1.1</t>
    <phoneticPr fontId="2" type="noConversion"/>
  </si>
  <si>
    <t>= (원가-이윤)-((원가-이윤)/1.05)</t>
    <phoneticPr fontId="2" type="noConversion"/>
  </si>
  <si>
    <t>= 원가-이윤-일반관리비</t>
    <phoneticPr fontId="2" type="noConversion"/>
  </si>
  <si>
    <t>비율</t>
    <phoneticPr fontId="2" type="noConversion"/>
  </si>
  <si>
    <t>= 인건비+경비-인건비</t>
    <phoneticPr fontId="2" type="noConversion"/>
  </si>
  <si>
    <t>구분</t>
    <phoneticPr fontId="2" type="noConversion"/>
  </si>
  <si>
    <t>금액</t>
    <phoneticPr fontId="2" type="noConversion"/>
  </si>
  <si>
    <t>비고</t>
    <phoneticPr fontId="2" type="noConversion"/>
  </si>
  <si>
    <t>연구원</t>
  </si>
  <si>
    <t>연구보조원</t>
  </si>
  <si>
    <t>보조원</t>
  </si>
  <si>
    <t>단가</t>
    <phoneticPr fontId="2" type="noConversion"/>
  </si>
  <si>
    <t>명수</t>
    <phoneticPr fontId="2" type="noConversion"/>
  </si>
  <si>
    <t>참여율</t>
    <phoneticPr fontId="2" type="noConversion"/>
  </si>
  <si>
    <t>합계</t>
    <phoneticPr fontId="2" type="noConversion"/>
  </si>
  <si>
    <t>수량</t>
    <phoneticPr fontId="2" type="noConversion"/>
  </si>
  <si>
    <t>절삭</t>
    <phoneticPr fontId="2" type="noConversion"/>
  </si>
  <si>
    <t>견적금액</t>
    <phoneticPr fontId="2" type="noConversion"/>
  </si>
  <si>
    <t>= 고객이 제시한 예산 금액 입력</t>
    <phoneticPr fontId="2" type="noConversion"/>
  </si>
  <si>
    <t>용역견적 계산식</t>
    <phoneticPr fontId="2" type="noConversion"/>
  </si>
  <si>
    <t>최종견적 산출</t>
    <phoneticPr fontId="2" type="noConversion"/>
  </si>
  <si>
    <t>견적범위 대비 차액</t>
    <phoneticPr fontId="2" type="noConversion"/>
  </si>
  <si>
    <t>기타값</t>
    <phoneticPr fontId="2" type="noConversion"/>
  </si>
  <si>
    <t>① 예산금액 기준 견적 범위</t>
    <phoneticPr fontId="2" type="noConversion"/>
  </si>
  <si>
    <t>① &lt;예산금액 기준 견적 범위&gt;식을 통해서 고객이 제시한 금액을 입력하고, 견적 범위를 확인한다.</t>
    <phoneticPr fontId="2" type="noConversion"/>
  </si>
  <si>
    <t>② 경비</t>
    <phoneticPr fontId="2" type="noConversion"/>
  </si>
  <si>
    <t>: 직접입력 값</t>
    <phoneticPr fontId="2" type="noConversion"/>
  </si>
  <si>
    <t>사용방법</t>
    <phoneticPr fontId="2" type="noConversion"/>
  </si>
  <si>
    <t>③ &lt;최종견적 산출&gt;에서 &lt;인건비&gt;, &lt;경비&gt;를 자동입력 후 고객이 제시한 예산금액에 맞춰 &lt;절삭&gt;하여 최종 견적을 산출한다</t>
    <phoneticPr fontId="2" type="noConversion"/>
  </si>
  <si>
    <t>기간(월)</t>
    <phoneticPr fontId="2" type="noConversion"/>
  </si>
  <si>
    <t>= 자동입력</t>
    <phoneticPr fontId="2" type="noConversion"/>
  </si>
  <si>
    <t>= 인건비+경비</t>
    <phoneticPr fontId="2" type="noConversion"/>
  </si>
  <si>
    <t>= (인건비+경비)*0.05</t>
    <phoneticPr fontId="2" type="noConversion"/>
  </si>
  <si>
    <t>= (인건비+경비+일반관리비)*0.1</t>
    <phoneticPr fontId="2" type="noConversion"/>
  </si>
  <si>
    <t>= 인건비+경비+일반관리비+이윤</t>
    <phoneticPr fontId="2" type="noConversion"/>
  </si>
  <si>
    <t>= 원가*0.1</t>
    <phoneticPr fontId="2" type="noConversion"/>
  </si>
  <si>
    <t>= 총계-고객 요구 견적금액</t>
    <phoneticPr fontId="2" type="noConversion"/>
  </si>
  <si>
    <t>= 총계-절삭</t>
    <phoneticPr fontId="2" type="noConversion"/>
  </si>
  <si>
    <t>② &lt;예산금액 기준 견적 범위&gt; 값과의 차액을 비교하여 견적 범위 내로 &lt;인건비&gt;, &lt;경비&gt;의 세부견적을 산출한다.</t>
    <phoneticPr fontId="2" type="noConversion"/>
  </si>
  <si>
    <t>책임연구원</t>
    <phoneticPr fontId="2" type="noConversion"/>
  </si>
  <si>
    <t>= 총계*0.5</t>
    <phoneticPr fontId="2" type="noConversion"/>
  </si>
  <si>
    <t>여비</t>
    <phoneticPr fontId="2" type="noConversion"/>
  </si>
  <si>
    <t>인쇄 및 디자인비</t>
    <phoneticPr fontId="2" type="noConversion"/>
  </si>
  <si>
    <t>SW 활용비</t>
    <phoneticPr fontId="2" type="noConversion"/>
  </si>
  <si>
    <t>② 인건비
(2026년 
학술용역단가 
기준)</t>
    <phoneticPr fontId="2" type="noConversion"/>
  </si>
  <si>
    <t>최종견적 잔액</t>
    <phoneticPr fontId="2" type="noConversion"/>
  </si>
  <si>
    <t>Turn #</t>
  </si>
  <si>
    <t>Date</t>
  </si>
  <si>
    <t>User Request</t>
  </si>
  <si>
    <t>Action Taken</t>
  </si>
  <si>
    <t>Details</t>
  </si>
  <si>
    <t>Outcome</t>
  </si>
  <si>
    <t>현재 파일 구조 확인</t>
  </si>
  <si>
    <t>Sheet1 전체 범위(A1:P32) 읽기 및 구조 분석</t>
  </si>
  <si>
    <t>용역견적 계산식 파일. 3개 섹션: ①예산금액 기준 견적범위(B11:E19), ②인건비/경비 세부산출(G10:M27), ③최종견적 산출(B22:E32). 총계 44,000,000원 기준.</t>
  </si>
  <si>
    <t>파일 구조 파악 완료. 섹션별 요약 및 주요 입력값 위치 안내.</t>
  </si>
  <si>
    <t>기존 Sheet1의 용역견적 계산식을 새 시트에 깔끔하게 재정리 요청</t>
  </si>
  <si>
    <t>용역견적(정리)' 신규 시트 생성 및 전체 수식 재작성</t>
  </si>
  <si>
    <t>3개 섹션: ①예산금액 기준 견적범위(B9:E18), ②인건비세부(B20:H27)/경비세부(B29:H37), ③최종견적산출(B39:E50). 비율 기준=C50(견적금액), 수식 에러 0건 확인.</t>
  </si>
  <si>
    <t>용역견적(정리) 시트 완성. Sheet1은 원본 그대로 보존.</t>
  </si>
  <si>
    <t>총 견적금액 42,000,000원이 되도록 인건비 참여율 자동 산출 요청</t>
  </si>
  <si>
    <t>K11:K14 참여율 설정, C31 절삭금액 입력</t>
  </si>
  <si>
    <t>책임연구원 0.15, 연구원 0.15, 연구보조원 0.20, 보조원 0.10 / 절삭 71,487원. 인건비합계 23,294,118 / 총계 42,071,487 → 절삭 후 ≈42,000,000</t>
  </si>
  <si>
    <t>견적금액 42,000,000.43원 (원 미만 43전은 소수점 잔여로 무시 가능)</t>
  </si>
  <si>
    <t>전문가 활용비</t>
    <phoneticPr fontId="2" type="noConversion"/>
  </si>
  <si>
    <t>C32(견적금액)과 C12(총계 20,000,000)이 같아지도록 인건비 참여율 조정 요청</t>
  </si>
  <si>
    <t>K11:K14 참여율을 0.1 → 0.10355656으로 일괄 변경</t>
  </si>
  <si>
    <t>역산: 목표인건비 13,181,833.92 = 기준합계 127,291,158 × 참여율. 필요 참여율 = 0.10355655593652548. 직급별 동일 비율 적용.</t>
  </si>
  <si>
    <t>C32 = C12 = 20,000,000 일치 확인 완료</t>
  </si>
  <si>
    <t>문헌구입비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</si>
</sst>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color rgb="FF000000"/>
      <name val="돋움"/>
      <family val="3"/>
      <charset val="129"/>
    </font>
    <font>
      <sz val="14"/>
      <color rgb="FF000000"/>
      <name val="휴먼명조"/>
      <charset val="129"/>
    </font>
    <font>
      <sz val="14"/>
      <color rgb="FF000000"/>
      <name val="휴먼명조"/>
      <family val="2"/>
      <charset val="129"/>
    </font>
    <font>
      <sz val="9"/>
      <color rgb="FF000000"/>
      <name val="맑은 고딕"/>
      <family val="3"/>
      <charset val="129"/>
      <scheme val="minor"/>
    </font>
    <font>
      <sz val="14"/>
      <color rgb="FF000000"/>
      <name val="HCI Poppy"/>
      <family val="2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rgb="FFFF0000"/>
      <name val="HCI Poppy"/>
      <family val="2"/>
    </font>
    <font>
      <b/>
      <sz val="11"/>
      <color rgb="FFFFFFFF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41" fontId="0" fillId="0" borderId="1" xfId="1" applyFont="1" applyBorder="1">
      <alignment vertical="center"/>
    </xf>
    <xf numFmtId="41" fontId="0" fillId="0" borderId="1" xfId="0" applyNumberFormat="1" applyBorder="1">
      <alignment vertical="center"/>
    </xf>
    <xf numFmtId="0" fontId="0" fillId="0" borderId="1" xfId="0" quotePrefix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2" applyNumberFormat="1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>
      <alignment vertical="center"/>
    </xf>
    <xf numFmtId="41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0" borderId="0" xfId="0" applyNumberFormat="1">
      <alignment vertical="center"/>
    </xf>
    <xf numFmtId="41" fontId="0" fillId="0" borderId="0" xfId="0" applyNumberFormat="1">
      <alignment vertical="center"/>
    </xf>
    <xf numFmtId="2" fontId="0" fillId="0" borderId="0" xfId="0" applyNumberFormat="1">
      <alignment vertical="center"/>
    </xf>
    <xf numFmtId="10" fontId="0" fillId="0" borderId="1" xfId="2" applyNumberFormat="1" applyFont="1" applyBorder="1">
      <alignment vertical="center"/>
    </xf>
    <xf numFmtId="3" fontId="9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41" fontId="11" fillId="0" borderId="1" xfId="0" applyNumberFormat="1" applyFont="1" applyBorder="1">
      <alignment vertical="center"/>
    </xf>
    <xf numFmtId="0" fontId="11" fillId="3" borderId="1" xfId="0" applyFont="1" applyFill="1" applyBorder="1" applyAlignment="1">
      <alignment horizontal="center" vertical="center"/>
    </xf>
    <xf numFmtId="41" fontId="11" fillId="0" borderId="1" xfId="1" applyFont="1" applyBorder="1">
      <alignment vertical="center"/>
    </xf>
    <xf numFmtId="41" fontId="0" fillId="0" borderId="0" xfId="1" applyFont="1">
      <alignment vertical="center"/>
    </xf>
    <xf numFmtId="3" fontId="5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1" fontId="0" fillId="0" borderId="1" xfId="1" applyFont="1" applyFill="1" applyBorder="1">
      <alignment vertical="center"/>
    </xf>
    <xf numFmtId="3" fontId="10" fillId="0" borderId="1" xfId="0" applyNumberFormat="1" applyFont="1" applyBorder="1" applyAlignment="1">
      <alignment horizontal="right" vertical="center" wrapText="1"/>
    </xf>
    <xf numFmtId="41" fontId="11" fillId="0" borderId="1" xfId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41" fontId="11" fillId="0" borderId="4" xfId="1" applyFont="1" applyFill="1" applyBorder="1" applyAlignment="1">
      <alignment horizontal="center" vertical="center"/>
    </xf>
    <xf numFmtId="176" fontId="11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0" xfId="2" applyNumberFormat="1" applyFont="1">
      <alignment vertical="center"/>
    </xf>
    <xf numFmtId="3" fontId="12" fillId="0" borderId="0" xfId="0" applyNumberFormat="1" applyFont="1" applyAlignment="1">
      <alignment horizontal="right" vertical="center" wrapText="1"/>
    </xf>
    <xf numFmtId="43" fontId="0" fillId="0" borderId="0" xfId="0" applyNumberFormat="1">
      <alignment vertical="center"/>
    </xf>
    <xf numFmtId="10" fontId="11" fillId="2" borderId="1" xfId="2" applyNumberFormat="1" applyFont="1" applyFill="1" applyBorder="1" applyAlignment="1">
      <alignment horizontal="center" vertical="center"/>
    </xf>
    <xf numFmtId="0" fontId="13" fillId="4" borderId="0" xfId="0" applyFont="1" applyFill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11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5F51E3-8C67-48C7-BFFF-E6DAFF44D42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a3f2057-83eb-4977-8a55-e2c9dfa9ec5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A480-CD9C-4C40-91B1-4C9C012E4BE3}">
  <dimension ref="A1:F5"/>
  <sheetViews>
    <sheetView workbookViewId="0"/>
  </sheetViews>
  <sheetFormatPr defaultRowHeight="16.5"/>
  <cols>
    <col min="1" max="1" width="7.625" bestFit="1" customWidth="1"/>
    <col min="2" max="2" width="11.125" bestFit="1" customWidth="1"/>
    <col min="3" max="3" width="19.25" bestFit="1" customWidth="1"/>
    <col min="4" max="4" width="41.75" bestFit="1" customWidth="1"/>
    <col min="5" max="5" width="144.875" bestFit="1" customWidth="1"/>
    <col min="6" max="6" width="56.125" bestFit="1" customWidth="1"/>
  </cols>
  <sheetData>
    <row r="1" spans="1:6">
      <c r="A1" s="43" t="s">
        <v>57</v>
      </c>
      <c r="B1" s="43" t="s">
        <v>58</v>
      </c>
      <c r="C1" s="43" t="s">
        <v>59</v>
      </c>
      <c r="D1" s="43" t="s">
        <v>60</v>
      </c>
      <c r="E1" s="43" t="s">
        <v>61</v>
      </c>
      <c r="F1" s="43" t="s">
        <v>62</v>
      </c>
    </row>
    <row r="2" spans="1:6">
      <c r="A2">
        <v>1</v>
      </c>
      <c r="B2" s="44">
        <v>46134</v>
      </c>
      <c r="C2" t="s">
        <v>63</v>
      </c>
      <c r="D2" t="s">
        <v>64</v>
      </c>
      <c r="E2" t="s">
        <v>65</v>
      </c>
      <c r="F2" t="s">
        <v>66</v>
      </c>
    </row>
    <row r="3" spans="1:6">
      <c r="A3">
        <v>2</v>
      </c>
      <c r="B3" s="44">
        <v>46134</v>
      </c>
      <c r="C3" t="s">
        <v>67</v>
      </c>
      <c r="D3" s="45" t="s">
        <v>68</v>
      </c>
      <c r="E3" t="s">
        <v>69</v>
      </c>
      <c r="F3" t="s">
        <v>70</v>
      </c>
    </row>
    <row r="4" spans="1:6">
      <c r="A4">
        <v>3</v>
      </c>
      <c r="B4" s="44">
        <v>46134</v>
      </c>
      <c r="C4" t="s">
        <v>71</v>
      </c>
      <c r="D4" t="s">
        <v>72</v>
      </c>
      <c r="E4" t="s">
        <v>73</v>
      </c>
      <c r="F4" t="s">
        <v>74</v>
      </c>
    </row>
    <row r="5" spans="1:6">
      <c r="A5">
        <v>2</v>
      </c>
      <c r="B5" s="44">
        <v>46175</v>
      </c>
      <c r="C5" t="s">
        <v>76</v>
      </c>
      <c r="D5" t="s">
        <v>77</v>
      </c>
      <c r="E5" t="s">
        <v>78</v>
      </c>
      <c r="F5" t="s">
        <v>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45D4-3960-4221-9F5B-53C78297584D}">
  <dimension ref="B2:T41"/>
  <sheetViews>
    <sheetView tabSelected="1" topLeftCell="A5" workbookViewId="0">
      <selection activeCell="I21" sqref="I21"/>
    </sheetView>
  </sheetViews>
  <sheetFormatPr defaultRowHeight="16.5"/>
  <cols>
    <col min="1" max="1" width="4.25" customWidth="1"/>
    <col min="2" max="2" width="12.5" bestFit="1" customWidth="1"/>
    <col min="3" max="3" width="12.875" bestFit="1" customWidth="1"/>
    <col min="5" max="5" width="32.625" customWidth="1"/>
    <col min="7" max="7" width="15.5" customWidth="1"/>
    <col min="8" max="8" width="16.625" bestFit="1" customWidth="1"/>
    <col min="9" max="10" width="11.875" bestFit="1" customWidth="1"/>
    <col min="11" max="11" width="9.375" bestFit="1" customWidth="1"/>
    <col min="13" max="13" width="13" bestFit="1" customWidth="1"/>
    <col min="14" max="14" width="18.625" bestFit="1" customWidth="1"/>
    <col min="15" max="15" width="13.75" bestFit="1" customWidth="1"/>
    <col min="16" max="16" width="15.625" bestFit="1" customWidth="1"/>
    <col min="17" max="17" width="11.875" bestFit="1" customWidth="1"/>
    <col min="18" max="18" width="13" bestFit="1" customWidth="1"/>
  </cols>
  <sheetData>
    <row r="2" spans="2:20" ht="31.5">
      <c r="B2" s="59" t="s">
        <v>30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2:20" ht="15" customHeight="1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2:20" ht="25.5" customHeight="1">
      <c r="B4" s="60" t="s">
        <v>38</v>
      </c>
      <c r="C4" s="61" t="s">
        <v>35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2:20" ht="25.5" customHeight="1">
      <c r="B5" s="60"/>
      <c r="C5" s="61" t="s">
        <v>49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</row>
    <row r="6" spans="2:20" ht="25.5" customHeight="1">
      <c r="B6" s="60"/>
      <c r="C6" s="61" t="s">
        <v>39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</row>
    <row r="7" spans="2:20">
      <c r="P7" s="13"/>
    </row>
    <row r="8" spans="2:20">
      <c r="B8" s="9"/>
      <c r="C8" t="s">
        <v>37</v>
      </c>
    </row>
    <row r="9" spans="2:20">
      <c r="P9" s="25"/>
      <c r="Q9" s="25"/>
      <c r="R9" s="25"/>
    </row>
    <row r="10" spans="2:20" ht="26.25">
      <c r="B10" s="57" t="s">
        <v>34</v>
      </c>
      <c r="C10" s="57"/>
      <c r="D10" s="57"/>
      <c r="E10" s="57"/>
      <c r="G10" s="56" t="s">
        <v>55</v>
      </c>
      <c r="H10" s="22" t="s">
        <v>16</v>
      </c>
      <c r="I10" s="22" t="s">
        <v>22</v>
      </c>
      <c r="J10" s="22" t="s">
        <v>23</v>
      </c>
      <c r="K10" s="22" t="s">
        <v>24</v>
      </c>
      <c r="L10" s="22" t="s">
        <v>40</v>
      </c>
      <c r="M10" s="22" t="s">
        <v>25</v>
      </c>
      <c r="N10" s="46" t="s">
        <v>32</v>
      </c>
      <c r="O10" s="46" t="s">
        <v>56</v>
      </c>
      <c r="P10" s="13"/>
      <c r="Q10" s="13"/>
      <c r="R10" s="13"/>
    </row>
    <row r="11" spans="2:20">
      <c r="B11" s="11" t="s">
        <v>16</v>
      </c>
      <c r="C11" s="11" t="s">
        <v>17</v>
      </c>
      <c r="D11" s="11" t="s">
        <v>14</v>
      </c>
      <c r="E11" s="11" t="s">
        <v>18</v>
      </c>
      <c r="G11" s="46"/>
      <c r="H11" s="17" t="s">
        <v>50</v>
      </c>
      <c r="I11" s="18">
        <v>3783728</v>
      </c>
      <c r="J11" s="19">
        <v>1</v>
      </c>
      <c r="K11" s="34">
        <v>0.15</v>
      </c>
      <c r="L11" s="19">
        <v>6</v>
      </c>
      <c r="M11" s="20">
        <f>PRODUCT(I11,J11,K11,L11)</f>
        <v>3405355.1999999997</v>
      </c>
      <c r="N11" s="46"/>
      <c r="O11" s="46"/>
      <c r="P11" s="39">
        <f>M11/$C$32</f>
        <v>0.17026776000000002</v>
      </c>
      <c r="T11" s="26"/>
    </row>
    <row r="12" spans="2:20">
      <c r="B12" s="6" t="s">
        <v>0</v>
      </c>
      <c r="C12" s="7">
        <v>20000000</v>
      </c>
      <c r="D12" s="5">
        <f t="shared" ref="D12:D17" si="0">C12/$C$12</f>
        <v>1</v>
      </c>
      <c r="E12" s="3" t="s">
        <v>29</v>
      </c>
      <c r="G12" s="46"/>
      <c r="H12" s="17" t="s">
        <v>19</v>
      </c>
      <c r="I12" s="18">
        <v>2901312</v>
      </c>
      <c r="J12" s="19">
        <v>2</v>
      </c>
      <c r="K12" s="42">
        <v>0.28080625603325049</v>
      </c>
      <c r="L12" s="19">
        <v>6</v>
      </c>
      <c r="M12" s="20">
        <f t="shared" ref="M12:M14" si="1">PRODUCT(I12,J12,K12,L12)</f>
        <v>9776478.7236521058</v>
      </c>
      <c r="N12" s="46"/>
      <c r="O12" s="46"/>
      <c r="P12" s="39">
        <f t="shared" ref="P12:P15" si="2">M12/$C$32</f>
        <v>0.48882393618260539</v>
      </c>
      <c r="Q12" s="40"/>
      <c r="T12" s="26"/>
    </row>
    <row r="13" spans="2:20">
      <c r="B13" s="4" t="s">
        <v>1</v>
      </c>
      <c r="C13" s="1">
        <f>C12-(C12/1.1)</f>
        <v>1818181.8181818202</v>
      </c>
      <c r="D13" s="5">
        <f t="shared" si="0"/>
        <v>9.0909090909091009E-2</v>
      </c>
      <c r="E13" s="3" t="s">
        <v>11</v>
      </c>
      <c r="G13" s="46"/>
      <c r="H13" s="17" t="s">
        <v>20</v>
      </c>
      <c r="I13" s="18">
        <v>1939429</v>
      </c>
      <c r="J13" s="19"/>
      <c r="K13" s="34"/>
      <c r="L13" s="19"/>
      <c r="N13" s="46"/>
      <c r="O13" s="46"/>
      <c r="P13" s="39">
        <f>M14/$C$32</f>
        <v>0</v>
      </c>
      <c r="Q13" s="40"/>
      <c r="T13" s="26"/>
    </row>
    <row r="14" spans="2:20">
      <c r="B14" s="4" t="s">
        <v>2</v>
      </c>
      <c r="C14" s="1">
        <f>C12-C13</f>
        <v>18181818.18181818</v>
      </c>
      <c r="D14" s="5">
        <f t="shared" si="0"/>
        <v>0.90909090909090895</v>
      </c>
      <c r="E14" s="3" t="s">
        <v>9</v>
      </c>
      <c r="G14" s="46"/>
      <c r="H14" s="17" t="s">
        <v>21</v>
      </c>
      <c r="I14" s="18">
        <v>1454621</v>
      </c>
      <c r="J14" s="19"/>
      <c r="K14" s="34"/>
      <c r="L14" s="19"/>
      <c r="M14" s="20"/>
      <c r="N14" s="46"/>
      <c r="O14" s="46"/>
      <c r="P14" s="39" t="e">
        <f>#REF!/$C$32</f>
        <v>#REF!</v>
      </c>
      <c r="Q14" s="40"/>
    </row>
    <row r="15" spans="2:20">
      <c r="B15" s="4" t="s">
        <v>3</v>
      </c>
      <c r="C15" s="1">
        <f>C14-(C14/1.1)</f>
        <v>1652892.5619834717</v>
      </c>
      <c r="D15" s="5">
        <f t="shared" si="0"/>
        <v>8.2644628099173584E-2</v>
      </c>
      <c r="E15" s="3" t="s">
        <v>10</v>
      </c>
      <c r="G15" s="46"/>
      <c r="H15" s="58" t="s">
        <v>25</v>
      </c>
      <c r="I15" s="58"/>
      <c r="J15" s="58"/>
      <c r="K15" s="58"/>
      <c r="L15" s="58"/>
      <c r="M15" s="21">
        <f>SUM(M11:M14)</f>
        <v>13181833.923652105</v>
      </c>
      <c r="N15" s="21">
        <f>C18-M15</f>
        <v>-3181833.923652105</v>
      </c>
      <c r="O15" s="21"/>
      <c r="P15" s="39">
        <f t="shared" si="2"/>
        <v>0.65909169618260532</v>
      </c>
      <c r="Q15" s="40"/>
      <c r="T15" s="26"/>
    </row>
    <row r="16" spans="2:20">
      <c r="B16" s="4" t="s">
        <v>4</v>
      </c>
      <c r="C16" s="1">
        <f>(C14-C15)-((C14-C15)/1.05)</f>
        <v>787091.69618260674</v>
      </c>
      <c r="D16" s="5">
        <f t="shared" si="0"/>
        <v>3.9354584809130337E-2</v>
      </c>
      <c r="E16" s="3" t="s">
        <v>12</v>
      </c>
      <c r="O16" s="14"/>
      <c r="P16" s="41"/>
      <c r="Q16" s="40"/>
      <c r="T16" s="26"/>
    </row>
    <row r="17" spans="2:20">
      <c r="B17" s="4" t="s">
        <v>5</v>
      </c>
      <c r="C17" s="1">
        <f>C14-C15-C16</f>
        <v>15741833.923652101</v>
      </c>
      <c r="D17" s="5">
        <f t="shared" si="0"/>
        <v>0.78709169618260511</v>
      </c>
      <c r="E17" s="3" t="s">
        <v>13</v>
      </c>
      <c r="G17" s="50" t="s">
        <v>36</v>
      </c>
      <c r="H17" s="11" t="s">
        <v>16</v>
      </c>
      <c r="I17" s="11" t="s">
        <v>22</v>
      </c>
      <c r="J17" s="11" t="s">
        <v>26</v>
      </c>
      <c r="K17" s="11" t="s">
        <v>33</v>
      </c>
      <c r="L17" s="11" t="s">
        <v>33</v>
      </c>
      <c r="M17" s="11" t="s">
        <v>25</v>
      </c>
      <c r="N17" s="50" t="s">
        <v>32</v>
      </c>
      <c r="O17" s="14"/>
      <c r="Q17" s="40"/>
      <c r="T17" s="26"/>
    </row>
    <row r="18" spans="2:20">
      <c r="B18" s="4" t="s">
        <v>7</v>
      </c>
      <c r="C18" s="1">
        <f>C12*0.5</f>
        <v>10000000</v>
      </c>
      <c r="D18" s="5">
        <f>C18/$C$12</f>
        <v>0.5</v>
      </c>
      <c r="E18" s="3" t="s">
        <v>51</v>
      </c>
      <c r="G18" s="51"/>
      <c r="H18" s="4" t="s">
        <v>52</v>
      </c>
      <c r="I18" s="29">
        <v>60000</v>
      </c>
      <c r="J18" s="19">
        <v>2</v>
      </c>
      <c r="K18" s="19">
        <v>3</v>
      </c>
      <c r="L18" s="19"/>
      <c r="M18" s="30">
        <f>PRODUCT(I18,J18,K18,L18)</f>
        <v>360000</v>
      </c>
      <c r="N18" s="51"/>
      <c r="O18" s="14"/>
      <c r="P18" s="39">
        <f>M18/$C$32</f>
        <v>1.8000000000000002E-2</v>
      </c>
      <c r="Q18" s="40"/>
      <c r="T18" s="26"/>
    </row>
    <row r="19" spans="2:20">
      <c r="B19" s="4" t="s">
        <v>6</v>
      </c>
      <c r="C19" s="2">
        <f>C17-C18</f>
        <v>5741833.9236521013</v>
      </c>
      <c r="D19" s="5">
        <f>C19/$C$12</f>
        <v>0.28709169618260505</v>
      </c>
      <c r="E19" s="3" t="s">
        <v>15</v>
      </c>
      <c r="G19" s="51"/>
      <c r="H19" s="17" t="s">
        <v>53</v>
      </c>
      <c r="I19" s="29"/>
      <c r="J19" s="19"/>
      <c r="K19" s="19"/>
      <c r="L19" s="19"/>
      <c r="M19" s="30">
        <f t="shared" ref="M19:M22" si="3">PRODUCT(I19,J19,K19,L19)</f>
        <v>0</v>
      </c>
      <c r="N19" s="51"/>
      <c r="O19" s="14"/>
      <c r="P19" s="39">
        <f t="shared" ref="P19:P22" si="4">M19/$C$32</f>
        <v>0</v>
      </c>
    </row>
    <row r="20" spans="2:20">
      <c r="G20" s="51"/>
      <c r="H20" s="17" t="s">
        <v>75</v>
      </c>
      <c r="I20" s="31">
        <v>300000</v>
      </c>
      <c r="J20" s="19">
        <v>4</v>
      </c>
      <c r="K20" s="19"/>
      <c r="L20" s="19"/>
      <c r="M20" s="30">
        <f t="shared" si="3"/>
        <v>1200000</v>
      </c>
      <c r="N20" s="51"/>
      <c r="O20" s="14"/>
      <c r="P20" s="39">
        <f t="shared" si="4"/>
        <v>6.0000000000000012E-2</v>
      </c>
    </row>
    <row r="21" spans="2:20" ht="26.25">
      <c r="B21" s="47" t="s">
        <v>31</v>
      </c>
      <c r="C21" s="48"/>
      <c r="D21" s="48"/>
      <c r="E21" s="49"/>
      <c r="G21" s="51"/>
      <c r="H21" s="32" t="s">
        <v>54</v>
      </c>
      <c r="I21" s="33">
        <v>1000000</v>
      </c>
      <c r="J21" s="19">
        <v>0</v>
      </c>
      <c r="K21" s="19"/>
      <c r="L21" s="19"/>
      <c r="M21" s="30">
        <f t="shared" si="3"/>
        <v>0</v>
      </c>
      <c r="N21" s="51"/>
      <c r="O21" s="14"/>
      <c r="P21" s="39">
        <f t="shared" si="4"/>
        <v>0</v>
      </c>
    </row>
    <row r="22" spans="2:20" ht="18">
      <c r="B22" s="11" t="s">
        <v>16</v>
      </c>
      <c r="C22" s="11" t="s">
        <v>17</v>
      </c>
      <c r="D22" s="11" t="s">
        <v>14</v>
      </c>
      <c r="E22" s="11" t="s">
        <v>18</v>
      </c>
      <c r="G22" s="51"/>
      <c r="H22" s="32" t="s">
        <v>80</v>
      </c>
      <c r="I22" s="33">
        <v>1000000</v>
      </c>
      <c r="J22" s="19"/>
      <c r="K22" s="19"/>
      <c r="L22" s="19"/>
      <c r="M22" s="30">
        <f t="shared" si="3"/>
        <v>1000000</v>
      </c>
      <c r="N22" s="51"/>
      <c r="O22" s="14"/>
      <c r="P22" s="39">
        <f t="shared" si="4"/>
        <v>5.000000000000001E-2</v>
      </c>
      <c r="Q22" s="27"/>
    </row>
    <row r="23" spans="2:20" ht="18">
      <c r="B23" s="4" t="s">
        <v>7</v>
      </c>
      <c r="C23" s="1">
        <f>M15</f>
        <v>13181833.923652105</v>
      </c>
      <c r="D23" s="15">
        <f>C23/$C$32</f>
        <v>0.65909169618260532</v>
      </c>
      <c r="E23" s="3" t="s">
        <v>41</v>
      </c>
      <c r="G23" s="51"/>
      <c r="H23" s="17"/>
      <c r="I23" s="31"/>
      <c r="J23" s="19"/>
      <c r="K23" s="19"/>
      <c r="L23" s="19"/>
      <c r="M23" s="30">
        <f t="shared" ref="M23:M25" si="5">PRODUCT(I23,J23,K23,L23)</f>
        <v>0</v>
      </c>
      <c r="N23" s="51"/>
      <c r="Q23" s="27"/>
    </row>
    <row r="24" spans="2:20" ht="18">
      <c r="B24" s="4" t="s">
        <v>6</v>
      </c>
      <c r="C24" s="1">
        <f>M26</f>
        <v>2560000</v>
      </c>
      <c r="D24" s="15">
        <f>C24/$C$32</f>
        <v>0.12800000000000003</v>
      </c>
      <c r="E24" s="3" t="s">
        <v>41</v>
      </c>
      <c r="G24" s="51"/>
      <c r="H24" s="17"/>
      <c r="I24" s="31"/>
      <c r="J24" s="19"/>
      <c r="K24" s="19"/>
      <c r="L24" s="19"/>
      <c r="M24" s="30">
        <f t="shared" si="5"/>
        <v>0</v>
      </c>
      <c r="N24" s="51"/>
      <c r="Q24" s="27"/>
    </row>
    <row r="25" spans="2:20" ht="18">
      <c r="B25" s="4" t="s">
        <v>5</v>
      </c>
      <c r="C25" s="1">
        <f>C23+C24</f>
        <v>15741833.923652105</v>
      </c>
      <c r="D25" s="15">
        <f t="shared" ref="D25:D32" si="6">C25/$C$32</f>
        <v>0.78709169618260544</v>
      </c>
      <c r="E25" s="3" t="s">
        <v>42</v>
      </c>
      <c r="G25" s="51"/>
      <c r="H25" s="17"/>
      <c r="I25" s="31"/>
      <c r="J25" s="19"/>
      <c r="K25" s="19"/>
      <c r="L25" s="19"/>
      <c r="M25" s="30">
        <f t="shared" si="5"/>
        <v>0</v>
      </c>
      <c r="N25" s="52"/>
      <c r="Q25" s="28"/>
    </row>
    <row r="26" spans="2:20">
      <c r="B26" s="4" t="s">
        <v>4</v>
      </c>
      <c r="C26" s="1">
        <f>C25*0.05</f>
        <v>787091.69618260534</v>
      </c>
      <c r="D26" s="15">
        <f t="shared" si="6"/>
        <v>3.9354584809130275E-2</v>
      </c>
      <c r="E26" s="3" t="s">
        <v>43</v>
      </c>
      <c r="G26" s="52"/>
      <c r="H26" s="53" t="s">
        <v>25</v>
      </c>
      <c r="I26" s="54"/>
      <c r="J26" s="54"/>
      <c r="K26" s="54"/>
      <c r="L26" s="55"/>
      <c r="M26" s="23">
        <f>SUM(M18:M25)</f>
        <v>2560000</v>
      </c>
      <c r="N26" s="2">
        <f>C24-M26</f>
        <v>0</v>
      </c>
      <c r="P26" s="39">
        <f t="shared" ref="P26" si="7">M26/$C$32</f>
        <v>0.12800000000000003</v>
      </c>
    </row>
    <row r="27" spans="2:20">
      <c r="B27" s="4" t="s">
        <v>3</v>
      </c>
      <c r="C27" s="1">
        <f>(C25+C26)*0.1</f>
        <v>1652892.561983471</v>
      </c>
      <c r="D27" s="15">
        <f>C27/$C$32</f>
        <v>8.264462809917357E-2</v>
      </c>
      <c r="E27" s="3" t="s">
        <v>44</v>
      </c>
      <c r="K27" s="13"/>
    </row>
    <row r="28" spans="2:20" ht="18">
      <c r="B28" s="4" t="s">
        <v>2</v>
      </c>
      <c r="C28" s="1">
        <f>C25+C26+C27</f>
        <v>18181818.18181818</v>
      </c>
      <c r="D28" s="15">
        <f t="shared" si="6"/>
        <v>0.90909090909090917</v>
      </c>
      <c r="E28" s="3" t="s">
        <v>45</v>
      </c>
      <c r="H28" s="13"/>
      <c r="I28" s="13"/>
      <c r="M28" s="13"/>
      <c r="Q28" s="16"/>
    </row>
    <row r="29" spans="2:20">
      <c r="B29" s="4" t="s">
        <v>1</v>
      </c>
      <c r="C29" s="1">
        <f>C28*0.1</f>
        <v>1818181.8181818181</v>
      </c>
      <c r="D29" s="15">
        <f t="shared" si="6"/>
        <v>9.0909090909090925E-2</v>
      </c>
      <c r="E29" s="3" t="s">
        <v>46</v>
      </c>
      <c r="H29" s="12"/>
      <c r="J29" s="13"/>
    </row>
    <row r="30" spans="2:20">
      <c r="B30" s="4" t="s">
        <v>0</v>
      </c>
      <c r="C30" s="2">
        <f>C28+C29</f>
        <v>19999999.999999996</v>
      </c>
      <c r="D30" s="15">
        <f t="shared" si="6"/>
        <v>1</v>
      </c>
      <c r="E30" s="3" t="s">
        <v>8</v>
      </c>
    </row>
    <row r="31" spans="2:20">
      <c r="B31" s="6" t="s">
        <v>27</v>
      </c>
      <c r="C31" s="8">
        <v>0</v>
      </c>
      <c r="D31" s="15">
        <f t="shared" si="6"/>
        <v>0</v>
      </c>
      <c r="E31" s="3" t="s">
        <v>47</v>
      </c>
    </row>
    <row r="32" spans="2:20">
      <c r="B32" s="4" t="s">
        <v>28</v>
      </c>
      <c r="C32" s="2">
        <f>C30-C31</f>
        <v>19999999.999999996</v>
      </c>
      <c r="D32" s="15">
        <f t="shared" si="6"/>
        <v>1</v>
      </c>
      <c r="E32" s="3" t="s">
        <v>48</v>
      </c>
    </row>
    <row r="33" spans="7:9">
      <c r="H33" s="36"/>
    </row>
    <row r="34" spans="7:9">
      <c r="H34" s="37"/>
    </row>
    <row r="35" spans="7:9">
      <c r="H35" s="37"/>
    </row>
    <row r="36" spans="7:9">
      <c r="G36" s="35"/>
      <c r="H36" s="38"/>
      <c r="I36" s="39"/>
    </row>
    <row r="37" spans="7:9">
      <c r="G37" s="35"/>
      <c r="H37" s="38"/>
      <c r="I37" s="39"/>
    </row>
    <row r="38" spans="7:9">
      <c r="G38" s="35"/>
      <c r="H38" s="38"/>
      <c r="I38" s="39"/>
    </row>
    <row r="39" spans="7:9">
      <c r="G39" s="35"/>
      <c r="H39" s="38"/>
      <c r="I39" s="39"/>
    </row>
    <row r="40" spans="7:9">
      <c r="G40" s="35"/>
      <c r="H40" s="38"/>
    </row>
    <row r="41" spans="7:9">
      <c r="H41" s="24"/>
    </row>
  </sheetData>
  <mergeCells count="14">
    <mergeCell ref="B2:N2"/>
    <mergeCell ref="B4:B6"/>
    <mergeCell ref="C4:N4"/>
    <mergeCell ref="C5:N5"/>
    <mergeCell ref="C6:N6"/>
    <mergeCell ref="O10:O14"/>
    <mergeCell ref="B21:E21"/>
    <mergeCell ref="N10:N14"/>
    <mergeCell ref="G17:G26"/>
    <mergeCell ref="N17:N25"/>
    <mergeCell ref="H26:L26"/>
    <mergeCell ref="G10:G15"/>
    <mergeCell ref="B10:E10"/>
    <mergeCell ref="H15:L1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Claude 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hyeongil kim</cp:lastModifiedBy>
  <dcterms:created xsi:type="dcterms:W3CDTF">2022-06-27T22:43:49Z</dcterms:created>
  <dcterms:modified xsi:type="dcterms:W3CDTF">2026-06-02T07:51:48Z</dcterms:modified>
</cp:coreProperties>
</file>